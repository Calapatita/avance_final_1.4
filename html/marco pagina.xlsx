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onecto-my.sharepoint.com/personal/amilcarpatinogamarra_teconecto_onmicrosoft_com/Documents/Jhonson/Cursos/Programacion/html/"/>
    </mc:Choice>
  </mc:AlternateContent>
  <xr:revisionPtr revIDLastSave="157" documentId="8_{1B935C58-9446-42B5-9B79-4A77147001F5}" xr6:coauthVersionLast="47" xr6:coauthVersionMax="47" xr10:uidLastSave="{E89E2C90-C5DF-4319-BB8B-A517FB08478F}"/>
  <bookViews>
    <workbookView xWindow="-120" yWindow="-120" windowWidth="29040" windowHeight="15720" xr2:uid="{1C544A9E-5802-4BD8-9513-EB059C2C0210}"/>
  </bookViews>
  <sheets>
    <sheet name="conectatel" sheetId="1" r:id="rId1"/>
    <sheet name="des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1" i="2" l="1"/>
  <c r="T7" i="2"/>
  <c r="S7" i="2"/>
  <c r="R7" i="2"/>
  <c r="S4" i="2"/>
  <c r="R4" i="2"/>
  <c r="P4" i="2"/>
  <c r="S2" i="2"/>
  <c r="R2" i="2"/>
  <c r="P2" i="2"/>
  <c r="Q4" i="2" l="1"/>
  <c r="Q7" i="2"/>
  <c r="Q2" i="2"/>
</calcChain>
</file>

<file path=xl/sharedStrings.xml><?xml version="1.0" encoding="utf-8"?>
<sst xmlns="http://schemas.openxmlformats.org/spreadsheetml/2006/main" count="79" uniqueCount="78">
  <si>
    <t>HEADER</t>
  </si>
  <si>
    <t>CONECTATEL</t>
  </si>
  <si>
    <t xml:space="preserve">Loggin </t>
  </si>
  <si>
    <t>Registrarse</t>
  </si>
  <si>
    <t>Buscar</t>
  </si>
  <si>
    <t>Sobre Nosotros</t>
  </si>
  <si>
    <t>NAV</t>
  </si>
  <si>
    <t>MAIN</t>
  </si>
  <si>
    <t>Internet Hogar</t>
  </si>
  <si>
    <t>FOOTER</t>
  </si>
  <si>
    <t>SECTION</t>
  </si>
  <si>
    <t>Bitel 1</t>
  </si>
  <si>
    <t>Bitel 2</t>
  </si>
  <si>
    <t>Bitel 3</t>
  </si>
  <si>
    <t>pre</t>
  </si>
  <si>
    <t>Post</t>
  </si>
  <si>
    <t>general</t>
  </si>
  <si>
    <t>Ranking</t>
  </si>
  <si>
    <t>ADS</t>
  </si>
  <si>
    <t>ENTEL</t>
  </si>
  <si>
    <t>MOVISTAR</t>
  </si>
  <si>
    <t>CLARO</t>
  </si>
  <si>
    <t>Numero</t>
  </si>
  <si>
    <t>Porcentaje</t>
  </si>
  <si>
    <t>Moneda</t>
  </si>
  <si>
    <t>Dia</t>
  </si>
  <si>
    <t>Si fecha</t>
  </si>
  <si>
    <t>Dia inicio</t>
  </si>
  <si>
    <t>Dia hoy</t>
  </si>
  <si>
    <t>Detalle</t>
  </si>
  <si>
    <t>#007288</t>
  </si>
  <si>
    <t>#DB1F59</t>
  </si>
  <si>
    <t>#FFF101</t>
  </si>
  <si>
    <t>#B7DEE8</t>
  </si>
  <si>
    <t>#FFFFCC</t>
  </si>
  <si>
    <t>#C6E0B4</t>
  </si>
  <si>
    <t>#DAE9F8</t>
  </si>
  <si>
    <t>#395BA5</t>
  </si>
  <si>
    <t>#024FB9</t>
  </si>
  <si>
    <t>#0BA9E0</t>
  </si>
  <si>
    <t>#E30613</t>
  </si>
  <si>
    <t>#008080</t>
  </si>
  <si>
    <t>#C63883</t>
  </si>
  <si>
    <t>#FBF138</t>
  </si>
  <si>
    <t>#F0F8FA</t>
  </si>
  <si>
    <t>#FFFFEB</t>
  </si>
  <si>
    <t>#E2EFDA</t>
  </si>
  <si>
    <t>#F2F2F2</t>
  </si>
  <si>
    <t>#ED7D31</t>
  </si>
  <si>
    <t>#FF5400</t>
  </si>
  <si>
    <t>#5AC400</t>
  </si>
  <si>
    <t>#457A8C</t>
  </si>
  <si>
    <t>#F6E921</t>
  </si>
  <si>
    <t>#F7F9F1</t>
  </si>
  <si>
    <t>#FBE2D5</t>
  </si>
  <si>
    <t>Formulas y formato de celdas</t>
  </si>
  <si>
    <t>#31869B</t>
  </si>
  <si>
    <t>#FFFCC9</t>
  </si>
  <si>
    <t>#209FA9</t>
  </si>
  <si>
    <t>Concatenar fecha</t>
  </si>
  <si>
    <t>5CA3B1</t>
  </si>
  <si>
    <t>#6ABCBC</t>
  </si>
  <si>
    <t>#129EC1</t>
  </si>
  <si>
    <t>#E5FBFF</t>
  </si>
  <si>
    <t>#F3FDFF</t>
  </si>
  <si>
    <t>#01548A</t>
  </si>
  <si>
    <t>LI3BR</t>
  </si>
  <si>
    <t>LI3</t>
  </si>
  <si>
    <t xml:space="preserve"> </t>
  </si>
  <si>
    <t xml:space="preserve">Fibra óptica </t>
  </si>
  <si>
    <t xml:space="preserve">FIBRA ÓPTICA </t>
  </si>
  <si>
    <t>HTML</t>
  </si>
  <si>
    <t>ASIDE
Carrusel de promociones</t>
  </si>
  <si>
    <t>ARTICLE 1
planes Moviles</t>
  </si>
  <si>
    <t>ARTICLE 2
Internet Hogar</t>
  </si>
  <si>
    <t>ARTICLE 3
Celulares y equipos</t>
  </si>
  <si>
    <t>Celulares y
Equipos</t>
  </si>
  <si>
    <t>Planes Móviles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</si>
</sst>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,##0;\-##,##0;\-"/>
    <numFmt numFmtId="165" formatCode="0.00%;\-0.00%;&quot;-&quot;"/>
    <numFmt numFmtId="166" formatCode="&quot;S/&quot;.##00;\-##,##0;\-"/>
  </numFmts>
  <fonts count="12" x14ac:knownFonts="1">
    <font>
      <sz val="9"/>
      <color theme="1"/>
      <name val="Calibri"/>
      <family val="2"/>
    </font>
    <font>
      <b/>
      <sz val="9"/>
      <color theme="0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Calibri"/>
      <family val="2"/>
    </font>
    <font>
      <i/>
      <sz val="9"/>
      <color theme="1"/>
      <name val="Calibri"/>
      <family val="2"/>
    </font>
    <font>
      <b/>
      <sz val="9"/>
      <color rgb="FFFF0000"/>
      <name val="Calibri"/>
      <family val="2"/>
    </font>
    <font>
      <b/>
      <sz val="9"/>
      <color rgb="FFF6E921"/>
      <name val="Calibri"/>
      <family val="2"/>
    </font>
    <font>
      <b/>
      <sz val="9"/>
      <color rgb="FF01548A"/>
      <name val="Calibri"/>
      <family val="2"/>
    </font>
    <font>
      <sz val="9"/>
      <color rgb="FF01548A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7288"/>
        <bgColor indexed="64"/>
      </patternFill>
    </fill>
    <fill>
      <patternFill patternType="solid">
        <fgColor rgb="FFDB1F59"/>
        <bgColor indexed="64"/>
      </patternFill>
    </fill>
    <fill>
      <patternFill patternType="solid">
        <fgColor rgb="FFFFF101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395BA5"/>
        <bgColor indexed="64"/>
      </patternFill>
    </fill>
    <fill>
      <patternFill patternType="solid">
        <fgColor rgb="FF024FB9"/>
        <bgColor indexed="64"/>
      </patternFill>
    </fill>
    <fill>
      <patternFill patternType="solid">
        <fgColor rgb="FF0BA9E0"/>
        <bgColor indexed="64"/>
      </patternFill>
    </fill>
    <fill>
      <patternFill patternType="solid">
        <fgColor rgb="FFE30613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C63883"/>
        <bgColor indexed="64"/>
      </patternFill>
    </fill>
    <fill>
      <patternFill patternType="solid">
        <fgColor rgb="FFFBF138"/>
        <bgColor indexed="64"/>
      </patternFill>
    </fill>
    <fill>
      <patternFill patternType="solid">
        <fgColor rgb="FFF0F8FA"/>
        <bgColor indexed="64"/>
      </patternFill>
    </fill>
    <fill>
      <patternFill patternType="solid">
        <fgColor rgb="FFFFFFE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5AC400"/>
        <bgColor indexed="64"/>
      </patternFill>
    </fill>
    <fill>
      <patternFill patternType="solid">
        <fgColor rgb="FF457A8C"/>
        <bgColor indexed="64"/>
      </patternFill>
    </fill>
    <fill>
      <patternFill patternType="solid">
        <fgColor rgb="FFF6E921"/>
        <bgColor indexed="64"/>
      </patternFill>
    </fill>
    <fill>
      <patternFill patternType="solid">
        <fgColor rgb="FFF7F9F1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FFFCC9"/>
        <bgColor indexed="64"/>
      </patternFill>
    </fill>
    <fill>
      <patternFill patternType="solid">
        <fgColor rgb="FF209FA9"/>
        <bgColor indexed="64"/>
      </patternFill>
    </fill>
    <fill>
      <patternFill patternType="solid">
        <fgColor rgb="FF5CA3B1"/>
        <bgColor indexed="64"/>
      </patternFill>
    </fill>
    <fill>
      <patternFill patternType="solid">
        <fgColor rgb="FF6ABCBC"/>
        <bgColor indexed="64"/>
      </patternFill>
    </fill>
    <fill>
      <patternFill patternType="solid">
        <fgColor rgb="FF129EC1"/>
        <bgColor indexed="64"/>
      </patternFill>
    </fill>
    <fill>
      <patternFill patternType="solid">
        <fgColor rgb="FFE5FBFF"/>
        <bgColor indexed="64"/>
      </patternFill>
    </fill>
    <fill>
      <patternFill patternType="solid">
        <fgColor rgb="FFF3FDFF"/>
        <bgColor indexed="64"/>
      </patternFill>
    </fill>
    <fill>
      <patternFill patternType="solid">
        <fgColor rgb="FF01548A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rgb="FF01548A"/>
      </left>
      <right/>
      <top style="medium">
        <color rgb="FF01548A"/>
      </top>
      <bottom/>
      <diagonal/>
    </border>
    <border>
      <left/>
      <right/>
      <top style="medium">
        <color rgb="FF01548A"/>
      </top>
      <bottom/>
      <diagonal/>
    </border>
    <border>
      <left/>
      <right style="medium">
        <color rgb="FF01548A"/>
      </right>
      <top style="medium">
        <color rgb="FF01548A"/>
      </top>
      <bottom/>
      <diagonal/>
    </border>
    <border>
      <left style="medium">
        <color rgb="FF01548A"/>
      </left>
      <right/>
      <top/>
      <bottom/>
      <diagonal/>
    </border>
    <border>
      <left/>
      <right style="medium">
        <color rgb="FF01548A"/>
      </right>
      <top/>
      <bottom/>
      <diagonal/>
    </border>
    <border>
      <left style="medium">
        <color rgb="FF01548A"/>
      </left>
      <right/>
      <top/>
      <bottom style="medium">
        <color rgb="FF01548A"/>
      </bottom>
      <diagonal/>
    </border>
    <border>
      <left/>
      <right/>
      <top/>
      <bottom style="medium">
        <color rgb="FF01548A"/>
      </bottom>
      <diagonal/>
    </border>
    <border>
      <left/>
      <right style="medium">
        <color rgb="FF01548A"/>
      </right>
      <top/>
      <bottom style="medium">
        <color rgb="FF01548A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left"/>
    </xf>
    <xf numFmtId="0" fontId="1" fillId="4" borderId="0" xfId="0" applyFont="1" applyFill="1"/>
    <xf numFmtId="0" fontId="2" fillId="5" borderId="0" xfId="0" applyFont="1" applyFill="1" applyAlignment="1">
      <alignment wrapText="1"/>
    </xf>
    <xf numFmtId="0" fontId="2" fillId="6" borderId="0" xfId="0" applyFont="1" applyFill="1"/>
    <xf numFmtId="0" fontId="3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164" fontId="4" fillId="0" borderId="0" xfId="0" applyNumberFormat="1" applyFont="1" applyAlignment="1">
      <alignment horizontal="center" vertical="center"/>
    </xf>
    <xf numFmtId="165" fontId="4" fillId="0" borderId="0" xfId="1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1" fillId="14" borderId="0" xfId="0" applyFont="1" applyFill="1"/>
    <xf numFmtId="0" fontId="1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3" fillId="18" borderId="0" xfId="0" applyFont="1" applyFill="1"/>
    <xf numFmtId="0" fontId="2" fillId="19" borderId="0" xfId="0" applyFont="1" applyFill="1"/>
    <xf numFmtId="0" fontId="2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0" borderId="0" xfId="0" applyFont="1"/>
    <xf numFmtId="0" fontId="1" fillId="24" borderId="0" xfId="0" applyFont="1" applyFill="1"/>
    <xf numFmtId="0" fontId="2" fillId="25" borderId="0" xfId="0" applyFont="1" applyFill="1" applyAlignment="1">
      <alignment wrapText="1"/>
    </xf>
    <xf numFmtId="0" fontId="2" fillId="26" borderId="0" xfId="0" applyFont="1" applyFill="1"/>
    <xf numFmtId="0" fontId="6" fillId="27" borderId="0" xfId="0" applyFont="1" applyFill="1"/>
    <xf numFmtId="0" fontId="6" fillId="0" borderId="0" xfId="0" applyFont="1"/>
    <xf numFmtId="0" fontId="7" fillId="0" borderId="0" xfId="0" applyFont="1"/>
    <xf numFmtId="0" fontId="1" fillId="28" borderId="0" xfId="0" applyFont="1" applyFill="1"/>
    <xf numFmtId="0" fontId="2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14" fontId="2" fillId="0" borderId="0" xfId="0" applyNumberFormat="1" applyFont="1"/>
    <xf numFmtId="0" fontId="8" fillId="0" borderId="0" xfId="0" applyFont="1"/>
    <xf numFmtId="0" fontId="1" fillId="33" borderId="0" xfId="0" applyFont="1" applyFill="1"/>
    <xf numFmtId="0" fontId="0" fillId="34" borderId="0" xfId="0" applyFill="1"/>
    <xf numFmtId="0" fontId="0" fillId="35" borderId="0" xfId="0" applyFill="1"/>
    <xf numFmtId="0" fontId="1" fillId="36" borderId="0" xfId="0" applyFont="1" applyFill="1"/>
    <xf numFmtId="0" fontId="9" fillId="36" borderId="9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37" borderId="2" xfId="0" applyFont="1" applyFill="1" applyBorder="1" applyAlignment="1">
      <alignment horizontal="center" vertical="center"/>
    </xf>
    <xf numFmtId="0" fontId="10" fillId="37" borderId="3" xfId="0" applyFont="1" applyFill="1" applyBorder="1" applyAlignment="1">
      <alignment horizontal="center" vertical="center"/>
    </xf>
    <xf numFmtId="0" fontId="10" fillId="37" borderId="4" xfId="0" applyFont="1" applyFill="1" applyBorder="1" applyAlignment="1">
      <alignment horizontal="center" vertical="center"/>
    </xf>
    <xf numFmtId="0" fontId="10" fillId="37" borderId="5" xfId="0" applyFont="1" applyFill="1" applyBorder="1" applyAlignment="1">
      <alignment horizontal="center" vertical="center"/>
    </xf>
    <xf numFmtId="0" fontId="10" fillId="37" borderId="6" xfId="0" applyFont="1" applyFill="1" applyBorder="1" applyAlignment="1">
      <alignment horizontal="center" vertical="center"/>
    </xf>
    <xf numFmtId="0" fontId="10" fillId="37" borderId="7" xfId="0" applyFont="1" applyFill="1" applyBorder="1" applyAlignment="1">
      <alignment horizontal="center" vertical="center"/>
    </xf>
    <xf numFmtId="0" fontId="10" fillId="37" borderId="8" xfId="0" applyFont="1" applyFill="1" applyBorder="1" applyAlignment="1">
      <alignment horizontal="center" vertical="center"/>
    </xf>
    <xf numFmtId="0" fontId="10" fillId="37" borderId="1" xfId="0" applyFont="1" applyFill="1" applyBorder="1" applyAlignment="1">
      <alignment horizontal="center" vertical="center" wrapText="1"/>
    </xf>
    <xf numFmtId="0" fontId="10" fillId="37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37" borderId="2" xfId="0" applyFont="1" applyFill="1" applyBorder="1" applyAlignment="1">
      <alignment horizontal="center" vertical="center" wrapText="1"/>
    </xf>
    <xf numFmtId="0" fontId="11" fillId="2" borderId="7" xfId="0" applyFont="1" applyFill="1" applyBorder="1"/>
    <xf numFmtId="0" fontId="0" fillId="2" borderId="13" xfId="0" applyFill="1" applyBorder="1"/>
    <xf numFmtId="0" fontId="0" fillId="2" borderId="14" xfId="0" applyFill="1" applyBorder="1"/>
    <xf numFmtId="0" fontId="2" fillId="2" borderId="13" xfId="0" applyFont="1" applyFill="1" applyBorder="1" applyAlignment="1">
      <alignment horizontal="center"/>
    </xf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0" xfId="0" applyFill="1" applyBorder="1"/>
    <xf numFmtId="0" fontId="11" fillId="2" borderId="0" xfId="0" applyFont="1" applyFill="1" applyBorder="1"/>
    <xf numFmtId="0" fontId="10" fillId="2" borderId="10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1" fillId="2" borderId="6" xfId="0" applyFont="1" applyFill="1" applyBorder="1"/>
    <xf numFmtId="0" fontId="11" fillId="2" borderId="8" xfId="0" applyFont="1" applyFill="1" applyBorder="1"/>
    <xf numFmtId="0" fontId="1" fillId="36" borderId="1" xfId="0" applyFont="1" applyFill="1" applyBorder="1" applyAlignment="1">
      <alignment horizontal="center"/>
    </xf>
    <xf numFmtId="0" fontId="1" fillId="36" borderId="2" xfId="0" applyFont="1" applyFill="1" applyBorder="1" applyAlignment="1">
      <alignment horizontal="center"/>
    </xf>
    <xf numFmtId="0" fontId="1" fillId="36" borderId="3" xfId="0" applyFont="1" applyFill="1" applyBorder="1" applyAlignment="1">
      <alignment horizontal="center"/>
    </xf>
    <xf numFmtId="0" fontId="1" fillId="36" borderId="1" xfId="0" applyFont="1" applyFill="1" applyBorder="1" applyAlignment="1">
      <alignment horizontal="center" vertical="center"/>
    </xf>
    <xf numFmtId="0" fontId="1" fillId="36" borderId="2" xfId="0" applyFont="1" applyFill="1" applyBorder="1" applyAlignment="1">
      <alignment horizontal="center" vertical="center"/>
    </xf>
    <xf numFmtId="0" fontId="1" fillId="36" borderId="3" xfId="0" applyFont="1" applyFill="1" applyBorder="1" applyAlignment="1">
      <alignment horizontal="center" vertical="center"/>
    </xf>
    <xf numFmtId="0" fontId="1" fillId="36" borderId="6" xfId="0" applyFont="1" applyFill="1" applyBorder="1" applyAlignment="1">
      <alignment horizontal="center" vertical="center"/>
    </xf>
    <xf numFmtId="0" fontId="1" fillId="36" borderId="7" xfId="0" applyFont="1" applyFill="1" applyBorder="1" applyAlignment="1">
      <alignment horizontal="center" vertical="center"/>
    </xf>
    <xf numFmtId="0" fontId="1" fillId="36" borderId="8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/>
    </xf>
    <xf numFmtId="0" fontId="1" fillId="36" borderId="7" xfId="0" applyFont="1" applyFill="1" applyBorder="1" applyAlignment="1">
      <alignment horizontal="center" wrapText="1"/>
    </xf>
    <xf numFmtId="0" fontId="1" fillId="36" borderId="8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/>
    <xf numFmtId="0" fontId="1" fillId="36" borderId="6" xfId="0" applyFont="1" applyFill="1" applyBorder="1"/>
    <xf numFmtId="0" fontId="8" fillId="0" borderId="0" xfId="0" applyFont="1" applyFill="1"/>
    <xf numFmtId="0" fontId="2" fillId="0" borderId="0" xfId="0" applyFont="1" applyFill="1"/>
    <xf numFmtId="0" fontId="0" fillId="0" borderId="0" xfId="0" applyFill="1"/>
  </cellXfs>
  <cellStyles count="2">
    <cellStyle name="Normal" xfId="0" builtinId="0"/>
    <cellStyle name="Porcentaje 2" xfId="1" xr:uid="{B593C9C7-CBF3-4344-9E81-6C5CC9714BE7}"/>
  </cellStyles>
  <dxfs count="1">
    <dxf>
      <font>
        <b/>
        <i val="0"/>
        <color theme="0"/>
      </font>
    </dxf>
  </dxfs>
  <tableStyles count="0" defaultTableStyle="TableStyleMedium2" defaultPivotStyle="PivotStyleLight16"/>
  <colors>
    <mruColors>
      <color rgb="FF0154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104775</xdr:colOff>
      <xdr:row>1</xdr:row>
      <xdr:rowOff>9525</xdr:rowOff>
    </xdr:from>
    <xdr:to>
      <xdr:col>22</xdr:col>
      <xdr:colOff>609600</xdr:colOff>
      <xdr:row>6</xdr:row>
      <xdr:rowOff>48389</xdr:rowOff>
    </xdr:to>
    <xdr:pic>
      <xdr:nvPicPr>
        <xdr:cNvPr id="2" name="Imagen 1" descr="Una caricatura de una persona&#10;&#10;Descripción generada automáticamente con confianza baja">
          <a:extLst>
            <a:ext uri="{FF2B5EF4-FFF2-40B4-BE49-F238E27FC236}">
              <a16:creationId xmlns:a16="http://schemas.microsoft.com/office/drawing/2014/main" id="{A72453EE-A16D-46EE-9FDD-B9B106700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3475" y="161925"/>
          <a:ext cx="504825" cy="8008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647701</xdr:colOff>
      <xdr:row>0</xdr:row>
      <xdr:rowOff>9525</xdr:rowOff>
    </xdr:from>
    <xdr:to>
      <xdr:col>26</xdr:col>
      <xdr:colOff>247651</xdr:colOff>
      <xdr:row>7</xdr:row>
      <xdr:rowOff>9525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4E14D009-C656-45C7-821F-8D8931189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06401" y="9525"/>
          <a:ext cx="2247900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57150</xdr:colOff>
      <xdr:row>9</xdr:row>
      <xdr:rowOff>19050</xdr:rowOff>
    </xdr:from>
    <xdr:to>
      <xdr:col>22</xdr:col>
      <xdr:colOff>495300</xdr:colOff>
      <xdr:row>15</xdr:row>
      <xdr:rowOff>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3687B331-9FEA-4FFB-8F75-08B6E4250AF3}"/>
            </a:ext>
          </a:extLst>
        </xdr:cNvPr>
        <xdr:cNvSpPr/>
      </xdr:nvSpPr>
      <xdr:spPr>
        <a:xfrm>
          <a:off x="12515850" y="1390650"/>
          <a:ext cx="438150" cy="914400"/>
        </a:xfrm>
        <a:prstGeom prst="roundRect">
          <a:avLst/>
        </a:prstGeom>
        <a:noFill/>
        <a:ln w="19050" cap="flat" cmpd="sng" algn="ctr">
          <a:solidFill>
            <a:srgbClr val="DB1F59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22</xdr:col>
      <xdr:colOff>9525</xdr:colOff>
      <xdr:row>16</xdr:row>
      <xdr:rowOff>57150</xdr:rowOff>
    </xdr:from>
    <xdr:to>
      <xdr:col>26</xdr:col>
      <xdr:colOff>105472</xdr:colOff>
      <xdr:row>17</xdr:row>
      <xdr:rowOff>34616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AE3A5B74-6871-433D-A841-24C238235B19}"/>
            </a:ext>
          </a:extLst>
        </xdr:cNvPr>
        <xdr:cNvSpPr/>
      </xdr:nvSpPr>
      <xdr:spPr>
        <a:xfrm>
          <a:off x="12468225" y="2524125"/>
          <a:ext cx="2743897" cy="129866"/>
        </a:xfrm>
        <a:prstGeom prst="roundRect">
          <a:avLst/>
        </a:prstGeom>
        <a:noFill/>
        <a:ln w="19050" cap="flat" cmpd="sng" algn="ctr">
          <a:solidFill>
            <a:srgbClr val="DB1F59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22</xdr:col>
      <xdr:colOff>666750</xdr:colOff>
      <xdr:row>9</xdr:row>
      <xdr:rowOff>19050</xdr:rowOff>
    </xdr:from>
    <xdr:to>
      <xdr:col>23</xdr:col>
      <xdr:colOff>419100</xdr:colOff>
      <xdr:row>15</xdr:row>
      <xdr:rowOff>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761CA164-7FA5-4A0A-9285-C9C97DFB8681}"/>
            </a:ext>
          </a:extLst>
        </xdr:cNvPr>
        <xdr:cNvSpPr/>
      </xdr:nvSpPr>
      <xdr:spPr>
        <a:xfrm>
          <a:off x="13125450" y="1390650"/>
          <a:ext cx="438150" cy="914400"/>
        </a:xfrm>
        <a:prstGeom prst="roundRect">
          <a:avLst/>
        </a:prstGeom>
        <a:noFill/>
        <a:ln w="19050" cap="flat" cmpd="sng" algn="ctr">
          <a:solidFill>
            <a:srgbClr val="01548A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24</xdr:col>
      <xdr:colOff>28575</xdr:colOff>
      <xdr:row>9</xdr:row>
      <xdr:rowOff>123825</xdr:rowOff>
    </xdr:from>
    <xdr:to>
      <xdr:col>25</xdr:col>
      <xdr:colOff>114300</xdr:colOff>
      <xdr:row>9</xdr:row>
      <xdr:rowOff>123825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B166A4B3-0030-4A07-963C-8360B1DCE0AF}"/>
            </a:ext>
          </a:extLst>
        </xdr:cNvPr>
        <xdr:cNvCxnSpPr/>
      </xdr:nvCxnSpPr>
      <xdr:spPr>
        <a:xfrm flipH="1">
          <a:off x="13763625" y="1495425"/>
          <a:ext cx="771525" cy="0"/>
        </a:xfrm>
        <a:prstGeom prst="straightConnector1">
          <a:avLst/>
        </a:prstGeom>
        <a:ln w="38100">
          <a:solidFill>
            <a:srgbClr val="01548A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47625</xdr:colOff>
      <xdr:row>12</xdr:row>
      <xdr:rowOff>76200</xdr:rowOff>
    </xdr:from>
    <xdr:to>
      <xdr:col>25</xdr:col>
      <xdr:colOff>133350</xdr:colOff>
      <xdr:row>12</xdr:row>
      <xdr:rowOff>76200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A61F82DF-5E25-4E2B-9BBB-C4BE8A7AADC1}"/>
            </a:ext>
          </a:extLst>
        </xdr:cNvPr>
        <xdr:cNvCxnSpPr/>
      </xdr:nvCxnSpPr>
      <xdr:spPr>
        <a:xfrm flipH="1">
          <a:off x="13782675" y="1905000"/>
          <a:ext cx="771525" cy="0"/>
        </a:xfrm>
        <a:prstGeom prst="straightConnector1">
          <a:avLst/>
        </a:prstGeom>
        <a:ln w="38100">
          <a:solidFill>
            <a:srgbClr val="DB1F5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1311-B6C6-4C8C-8CCE-DA5F1CDABFAF}">
  <dimension ref="D3:T37"/>
  <sheetViews>
    <sheetView tabSelected="1" workbookViewId="0">
      <selection activeCell="W23" sqref="W23"/>
    </sheetView>
  </sheetViews>
  <sheetFormatPr baseColWidth="10" defaultRowHeight="12" x14ac:dyDescent="0.2"/>
  <cols>
    <col min="4" max="4" width="7.83203125" customWidth="1"/>
    <col min="5" max="6" width="2.83203125" customWidth="1"/>
    <col min="7" max="9" width="10.83203125" customWidth="1"/>
    <col min="10" max="10" width="2.83203125" customWidth="1"/>
    <col min="11" max="13" width="10.83203125" customWidth="1"/>
    <col min="14" max="14" width="2.5" customWidth="1"/>
    <col min="15" max="17" width="10.83203125" customWidth="1"/>
    <col min="18" max="19" width="2.83203125" customWidth="1"/>
  </cols>
  <sheetData>
    <row r="3" spans="4:20" x14ac:dyDescent="0.2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4:20" x14ac:dyDescent="0.2">
      <c r="D4" s="4"/>
      <c r="E4" s="4"/>
      <c r="F4" s="4"/>
      <c r="G4" s="86" t="s">
        <v>0</v>
      </c>
      <c r="H4" s="86"/>
      <c r="I4" s="86"/>
      <c r="J4" s="86"/>
      <c r="K4" s="86"/>
      <c r="L4" s="86"/>
      <c r="M4" s="86"/>
      <c r="N4" s="86"/>
      <c r="O4" s="86"/>
      <c r="P4" s="86"/>
      <c r="Q4" s="86"/>
      <c r="R4" s="4"/>
      <c r="S4" s="4"/>
      <c r="T4" s="4"/>
    </row>
    <row r="5" spans="4:20" x14ac:dyDescent="0.2">
      <c r="D5" s="4"/>
      <c r="E5" s="4"/>
      <c r="F5" s="87"/>
      <c r="G5" s="87" t="s">
        <v>1</v>
      </c>
      <c r="H5" s="87"/>
      <c r="I5" s="87"/>
      <c r="J5" s="87"/>
      <c r="K5" s="87"/>
      <c r="L5" s="87"/>
      <c r="M5" s="87"/>
      <c r="N5" s="61"/>
      <c r="O5" s="86" t="s">
        <v>2</v>
      </c>
      <c r="P5" s="61"/>
      <c r="Q5" s="86" t="s">
        <v>3</v>
      </c>
      <c r="R5" s="4"/>
      <c r="S5" s="4"/>
      <c r="T5" s="4"/>
    </row>
    <row r="6" spans="4:20" ht="12.75" thickBot="1" x14ac:dyDescent="0.25">
      <c r="D6" s="4"/>
      <c r="E6" s="4"/>
      <c r="F6" s="87"/>
      <c r="G6" s="87"/>
      <c r="H6" s="87"/>
      <c r="I6" s="87"/>
      <c r="J6" s="87"/>
      <c r="K6" s="87"/>
      <c r="L6" s="87"/>
      <c r="M6" s="87"/>
      <c r="N6" s="61"/>
      <c r="O6" s="86"/>
      <c r="P6" s="61"/>
      <c r="Q6" s="86"/>
      <c r="R6" s="4"/>
      <c r="S6" s="4"/>
      <c r="T6" s="4"/>
    </row>
    <row r="7" spans="4:20" x14ac:dyDescent="0.2">
      <c r="D7" s="4"/>
      <c r="E7" s="4"/>
      <c r="F7" s="90" t="s">
        <v>6</v>
      </c>
      <c r="G7" s="77" t="s">
        <v>6</v>
      </c>
      <c r="H7" s="78"/>
      <c r="I7" s="78"/>
      <c r="J7" s="78"/>
      <c r="K7" s="78"/>
      <c r="L7" s="78"/>
      <c r="M7" s="78"/>
      <c r="N7" s="78"/>
      <c r="O7" s="78"/>
      <c r="P7" s="78"/>
      <c r="Q7" s="79"/>
      <c r="R7" s="4"/>
      <c r="S7" s="4"/>
      <c r="T7" s="4"/>
    </row>
    <row r="8" spans="4:20" ht="24.75" thickBot="1" x14ac:dyDescent="0.25">
      <c r="D8" s="4"/>
      <c r="E8" s="4"/>
      <c r="F8" s="70"/>
      <c r="G8" s="91"/>
      <c r="H8" s="88"/>
      <c r="I8" s="88"/>
      <c r="J8" s="88"/>
      <c r="K8" s="88" t="s">
        <v>8</v>
      </c>
      <c r="L8" s="88" t="s">
        <v>77</v>
      </c>
      <c r="M8" s="88" t="s">
        <v>76</v>
      </c>
      <c r="N8" s="88"/>
      <c r="O8" s="88" t="s">
        <v>5</v>
      </c>
      <c r="P8" s="88"/>
      <c r="Q8" s="89" t="s">
        <v>4</v>
      </c>
      <c r="R8" s="4"/>
      <c r="S8" s="4"/>
      <c r="T8" s="4"/>
    </row>
    <row r="9" spans="4:20" x14ac:dyDescent="0.2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4:20" ht="12.75" thickBot="1" x14ac:dyDescent="0.25"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4:20" ht="12.75" thickBot="1" x14ac:dyDescent="0.25">
      <c r="D11" s="4"/>
      <c r="E11" s="4"/>
      <c r="F11" s="72" t="s">
        <v>7</v>
      </c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4"/>
      <c r="S11" s="4"/>
      <c r="T11" s="4"/>
    </row>
    <row r="12" spans="4:20" ht="12.75" thickBot="1" x14ac:dyDescent="0.25">
      <c r="D12" s="4"/>
      <c r="E12" s="4"/>
      <c r="F12" s="64"/>
      <c r="G12" s="49" t="s">
        <v>10</v>
      </c>
      <c r="H12" s="50"/>
      <c r="I12" s="50"/>
      <c r="J12" s="50"/>
      <c r="K12" s="50"/>
      <c r="L12" s="50"/>
      <c r="M12" s="50"/>
      <c r="N12" s="50"/>
      <c r="O12" s="50"/>
      <c r="P12" s="50"/>
      <c r="Q12" s="51"/>
      <c r="R12" s="65"/>
      <c r="S12" s="4"/>
      <c r="T12" s="4"/>
    </row>
    <row r="13" spans="4:20" x14ac:dyDescent="0.2">
      <c r="D13" s="4"/>
      <c r="E13" s="4"/>
      <c r="F13" s="64"/>
      <c r="G13" s="59" t="s">
        <v>73</v>
      </c>
      <c r="H13" s="52"/>
      <c r="I13" s="53"/>
      <c r="J13" s="61"/>
      <c r="K13" s="59" t="s">
        <v>74</v>
      </c>
      <c r="L13" s="52"/>
      <c r="M13" s="53"/>
      <c r="N13" s="61"/>
      <c r="O13" s="59" t="s">
        <v>75</v>
      </c>
      <c r="P13" s="62"/>
      <c r="Q13" s="53"/>
      <c r="R13" s="65"/>
      <c r="S13" s="4"/>
      <c r="T13" s="4"/>
    </row>
    <row r="14" spans="4:20" x14ac:dyDescent="0.2">
      <c r="D14" s="4"/>
      <c r="E14" s="4"/>
      <c r="F14" s="64"/>
      <c r="G14" s="54"/>
      <c r="H14" s="60"/>
      <c r="I14" s="55"/>
      <c r="J14" s="61"/>
      <c r="K14" s="54"/>
      <c r="L14" s="60"/>
      <c r="M14" s="55"/>
      <c r="N14" s="61"/>
      <c r="O14" s="54"/>
      <c r="P14" s="60"/>
      <c r="Q14" s="55"/>
      <c r="R14" s="65"/>
      <c r="S14" s="4"/>
      <c r="T14" s="4"/>
    </row>
    <row r="15" spans="4:20" x14ac:dyDescent="0.2">
      <c r="D15" s="4"/>
      <c r="E15" s="4"/>
      <c r="F15" s="64"/>
      <c r="G15" s="54"/>
      <c r="H15" s="60"/>
      <c r="I15" s="55"/>
      <c r="J15" s="61"/>
      <c r="K15" s="54"/>
      <c r="L15" s="60"/>
      <c r="M15" s="55"/>
      <c r="N15" s="61"/>
      <c r="O15" s="54"/>
      <c r="P15" s="60"/>
      <c r="Q15" s="55"/>
      <c r="R15" s="65"/>
      <c r="S15" s="4"/>
      <c r="T15" s="4"/>
    </row>
    <row r="16" spans="4:20" x14ac:dyDescent="0.2">
      <c r="D16" s="4"/>
      <c r="E16" s="4"/>
      <c r="F16" s="64"/>
      <c r="G16" s="54"/>
      <c r="H16" s="60"/>
      <c r="I16" s="55"/>
      <c r="J16" s="61"/>
      <c r="K16" s="54"/>
      <c r="L16" s="60"/>
      <c r="M16" s="55"/>
      <c r="N16" s="61"/>
      <c r="O16" s="54"/>
      <c r="P16" s="60"/>
      <c r="Q16" s="55"/>
      <c r="R16" s="65"/>
      <c r="S16" s="4"/>
      <c r="T16" s="4"/>
    </row>
    <row r="17" spans="4:20" x14ac:dyDescent="0.2">
      <c r="D17" s="48" t="s">
        <v>71</v>
      </c>
      <c r="E17" s="48"/>
      <c r="F17" s="66"/>
      <c r="G17" s="54"/>
      <c r="H17" s="60"/>
      <c r="I17" s="55"/>
      <c r="J17" s="61"/>
      <c r="K17" s="54"/>
      <c r="L17" s="60"/>
      <c r="M17" s="55"/>
      <c r="N17" s="61"/>
      <c r="O17" s="54"/>
      <c r="P17" s="60"/>
      <c r="Q17" s="55"/>
      <c r="R17" s="65"/>
      <c r="S17" s="4"/>
      <c r="T17" s="4"/>
    </row>
    <row r="18" spans="4:20" x14ac:dyDescent="0.2">
      <c r="D18" s="4"/>
      <c r="E18" s="4"/>
      <c r="F18" s="64"/>
      <c r="G18" s="54"/>
      <c r="H18" s="60"/>
      <c r="I18" s="55"/>
      <c r="J18" s="61"/>
      <c r="K18" s="54"/>
      <c r="L18" s="60"/>
      <c r="M18" s="55"/>
      <c r="N18" s="61"/>
      <c r="O18" s="54"/>
      <c r="P18" s="60"/>
      <c r="Q18" s="55"/>
      <c r="R18" s="65"/>
      <c r="S18" s="4"/>
      <c r="T18" s="4"/>
    </row>
    <row r="19" spans="4:20" x14ac:dyDescent="0.2">
      <c r="D19" s="4"/>
      <c r="E19" s="4"/>
      <c r="F19" s="64"/>
      <c r="G19" s="54"/>
      <c r="H19" s="60"/>
      <c r="I19" s="55"/>
      <c r="J19" s="61"/>
      <c r="K19" s="54"/>
      <c r="L19" s="60"/>
      <c r="M19" s="55"/>
      <c r="N19" s="61"/>
      <c r="O19" s="54"/>
      <c r="P19" s="60"/>
      <c r="Q19" s="55"/>
      <c r="R19" s="65"/>
      <c r="S19" s="4"/>
      <c r="T19" s="4"/>
    </row>
    <row r="20" spans="4:20" x14ac:dyDescent="0.2">
      <c r="D20" s="4"/>
      <c r="E20" s="4"/>
      <c r="F20" s="64"/>
      <c r="G20" s="54"/>
      <c r="H20" s="60"/>
      <c r="I20" s="55"/>
      <c r="J20" s="61"/>
      <c r="K20" s="54"/>
      <c r="L20" s="60"/>
      <c r="M20" s="55"/>
      <c r="N20" s="61"/>
      <c r="O20" s="54"/>
      <c r="P20" s="60"/>
      <c r="Q20" s="55"/>
      <c r="R20" s="65"/>
      <c r="S20" s="4"/>
      <c r="T20" s="4"/>
    </row>
    <row r="21" spans="4:20" x14ac:dyDescent="0.2">
      <c r="D21" s="4"/>
      <c r="E21" s="4"/>
      <c r="F21" s="64"/>
      <c r="G21" s="54"/>
      <c r="H21" s="60"/>
      <c r="I21" s="55"/>
      <c r="J21" s="61"/>
      <c r="K21" s="54"/>
      <c r="L21" s="60"/>
      <c r="M21" s="55"/>
      <c r="N21" s="61"/>
      <c r="O21" s="54"/>
      <c r="P21" s="60"/>
      <c r="Q21" s="55"/>
      <c r="R21" s="65"/>
      <c r="S21" s="4"/>
      <c r="T21" s="4"/>
    </row>
    <row r="22" spans="4:20" x14ac:dyDescent="0.2">
      <c r="D22" s="4"/>
      <c r="E22" s="4"/>
      <c r="F22" s="64"/>
      <c r="G22" s="54"/>
      <c r="H22" s="60"/>
      <c r="I22" s="55"/>
      <c r="J22" s="61"/>
      <c r="K22" s="54"/>
      <c r="L22" s="60"/>
      <c r="M22" s="55"/>
      <c r="N22" s="61"/>
      <c r="O22" s="54"/>
      <c r="P22" s="60"/>
      <c r="Q22" s="55"/>
      <c r="R22" s="65"/>
      <c r="S22" s="4"/>
      <c r="T22" s="4"/>
    </row>
    <row r="23" spans="4:20" ht="12.75" thickBot="1" x14ac:dyDescent="0.25">
      <c r="D23" s="4"/>
      <c r="E23" s="4"/>
      <c r="F23" s="64"/>
      <c r="G23" s="56"/>
      <c r="H23" s="57"/>
      <c r="I23" s="58"/>
      <c r="J23" s="61"/>
      <c r="K23" s="56"/>
      <c r="L23" s="57"/>
      <c r="M23" s="58"/>
      <c r="N23" s="61"/>
      <c r="O23" s="56"/>
      <c r="P23" s="57"/>
      <c r="Q23" s="58"/>
      <c r="R23" s="65"/>
      <c r="S23" s="4"/>
      <c r="T23" s="4"/>
    </row>
    <row r="24" spans="4:20" ht="12.75" thickBot="1" x14ac:dyDescent="0.25">
      <c r="D24" s="4"/>
      <c r="E24" s="4"/>
      <c r="F24" s="64"/>
      <c r="G24" s="75"/>
      <c r="H24" s="63"/>
      <c r="I24" s="63"/>
      <c r="J24" s="63"/>
      <c r="K24" s="63"/>
      <c r="L24" s="63"/>
      <c r="M24" s="63"/>
      <c r="N24" s="63"/>
      <c r="O24" s="63"/>
      <c r="P24" s="63"/>
      <c r="Q24" s="76"/>
      <c r="R24" s="65"/>
      <c r="S24" s="4"/>
      <c r="T24" s="4"/>
    </row>
    <row r="25" spans="4:20" x14ac:dyDescent="0.2">
      <c r="D25" s="4"/>
      <c r="E25" s="4"/>
      <c r="F25" s="64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65"/>
      <c r="S25" s="4"/>
      <c r="T25" s="4"/>
    </row>
    <row r="26" spans="4:20" ht="12.75" thickBot="1" x14ac:dyDescent="0.25">
      <c r="D26" s="4"/>
      <c r="E26" s="4"/>
      <c r="F26" s="64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65"/>
      <c r="S26" s="4"/>
      <c r="T26" s="4"/>
    </row>
    <row r="27" spans="4:20" x14ac:dyDescent="0.2">
      <c r="D27" s="4"/>
      <c r="E27" s="4"/>
      <c r="F27" s="64"/>
      <c r="G27" s="59" t="s">
        <v>72</v>
      </c>
      <c r="H27" s="52"/>
      <c r="I27" s="52"/>
      <c r="J27" s="52"/>
      <c r="K27" s="52"/>
      <c r="L27" s="52"/>
      <c r="M27" s="52"/>
      <c r="N27" s="52"/>
      <c r="O27" s="52"/>
      <c r="P27" s="52"/>
      <c r="Q27" s="53"/>
      <c r="R27" s="65"/>
      <c r="S27" s="4"/>
      <c r="T27" s="4"/>
    </row>
    <row r="28" spans="4:20" x14ac:dyDescent="0.2">
      <c r="D28" s="4"/>
      <c r="E28" s="4"/>
      <c r="F28" s="64"/>
      <c r="G28" s="54"/>
      <c r="H28" s="60"/>
      <c r="I28" s="60"/>
      <c r="J28" s="60"/>
      <c r="K28" s="60"/>
      <c r="L28" s="60"/>
      <c r="M28" s="60"/>
      <c r="N28" s="60"/>
      <c r="O28" s="60"/>
      <c r="P28" s="60"/>
      <c r="Q28" s="55"/>
      <c r="R28" s="65"/>
      <c r="S28" s="4"/>
      <c r="T28" s="4"/>
    </row>
    <row r="29" spans="4:20" x14ac:dyDescent="0.2">
      <c r="D29" s="4"/>
      <c r="E29" s="4"/>
      <c r="F29" s="64"/>
      <c r="G29" s="54"/>
      <c r="H29" s="60"/>
      <c r="I29" s="60"/>
      <c r="J29" s="60"/>
      <c r="K29" s="60"/>
      <c r="L29" s="60"/>
      <c r="M29" s="60"/>
      <c r="N29" s="60"/>
      <c r="O29" s="60"/>
      <c r="P29" s="60"/>
      <c r="Q29" s="55"/>
      <c r="R29" s="65"/>
      <c r="S29" s="4"/>
      <c r="T29" s="4"/>
    </row>
    <row r="30" spans="4:20" ht="12.75" thickBot="1" x14ac:dyDescent="0.25">
      <c r="D30" s="4"/>
      <c r="E30" s="4"/>
      <c r="F30" s="64"/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8"/>
      <c r="R30" s="65"/>
      <c r="S30" s="4"/>
      <c r="T30" s="4"/>
    </row>
    <row r="31" spans="4:20" ht="12.75" thickBot="1" x14ac:dyDescent="0.25">
      <c r="D31" s="4"/>
      <c r="E31" s="4"/>
      <c r="F31" s="67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9"/>
      <c r="S31" s="4"/>
      <c r="T31" s="4"/>
    </row>
    <row r="32" spans="4:20" x14ac:dyDescent="0.2"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4:20" ht="12.75" thickBot="1" x14ac:dyDescent="0.25"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4:20" x14ac:dyDescent="0.2">
      <c r="D34" s="4"/>
      <c r="E34" s="4"/>
      <c r="F34" s="80" t="s">
        <v>9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2"/>
      <c r="S34" s="4"/>
      <c r="T34" s="4"/>
    </row>
    <row r="35" spans="4:20" ht="12.75" thickBot="1" x14ac:dyDescent="0.25">
      <c r="D35" s="4"/>
      <c r="E35" s="4"/>
      <c r="F35" s="83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5"/>
      <c r="S35" s="4"/>
      <c r="T35" s="4"/>
    </row>
    <row r="36" spans="4:20" x14ac:dyDescent="0.2"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4:20" x14ac:dyDescent="0.2"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</sheetData>
  <mergeCells count="11">
    <mergeCell ref="G7:Q7"/>
    <mergeCell ref="G4:Q4"/>
    <mergeCell ref="Q5:Q6"/>
    <mergeCell ref="O5:O6"/>
    <mergeCell ref="O13:Q23"/>
    <mergeCell ref="G27:Q30"/>
    <mergeCell ref="G13:I23"/>
    <mergeCell ref="K13:M23"/>
    <mergeCell ref="F11:R11"/>
    <mergeCell ref="G12:Q12"/>
    <mergeCell ref="F34:R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5D72A-A268-41F0-954F-F1C8F30F6B18}">
  <sheetPr>
    <tabColor rgb="FFFF0000"/>
  </sheetPr>
  <dimension ref="A1:T31"/>
  <sheetViews>
    <sheetView workbookViewId="0">
      <selection activeCell="G3" sqref="G3"/>
    </sheetView>
  </sheetViews>
  <sheetFormatPr baseColWidth="10" defaultColWidth="12" defaultRowHeight="12" x14ac:dyDescent="0.2"/>
  <cols>
    <col min="1" max="3" width="10.83203125" customWidth="1"/>
    <col min="4" max="4" width="8.6640625" bestFit="1" customWidth="1"/>
    <col min="5" max="5" width="8.33203125" bestFit="1" customWidth="1"/>
    <col min="6" max="6" width="9.83203125" bestFit="1" customWidth="1"/>
    <col min="7" max="8" width="9.83203125" customWidth="1"/>
    <col min="9" max="9" width="8.83203125" bestFit="1" customWidth="1"/>
    <col min="10" max="10" width="12.6640625" bestFit="1" customWidth="1"/>
    <col min="11" max="11" width="9.1640625" bestFit="1" customWidth="1"/>
    <col min="12" max="12" width="2.83203125" customWidth="1"/>
    <col min="13" max="13" width="10.33203125" bestFit="1" customWidth="1"/>
    <col min="14" max="14" width="12.33203125" bestFit="1" customWidth="1"/>
    <col min="15" max="15" width="10.33203125" bestFit="1" customWidth="1"/>
    <col min="16" max="16" width="6.5" bestFit="1" customWidth="1"/>
    <col min="17" max="17" width="10.1640625" bestFit="1" customWidth="1"/>
    <col min="18" max="18" width="11.33203125" bestFit="1" customWidth="1"/>
    <col min="19" max="19" width="10" bestFit="1" customWidth="1"/>
    <col min="20" max="20" width="10.5" bestFit="1" customWidth="1"/>
    <col min="24" max="24" width="10.33203125" customWidth="1"/>
  </cols>
  <sheetData>
    <row r="1" spans="1:20" x14ac:dyDescent="0.2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3" t="s">
        <v>18</v>
      </c>
      <c r="I1" s="2" t="s">
        <v>19</v>
      </c>
      <c r="J1" s="2" t="s">
        <v>20</v>
      </c>
      <c r="K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</row>
    <row r="2" spans="1:20" x14ac:dyDescent="0.2">
      <c r="A2" s="5" t="s">
        <v>30</v>
      </c>
      <c r="B2" s="6" t="s">
        <v>31</v>
      </c>
      <c r="C2" s="7" t="s">
        <v>32</v>
      </c>
      <c r="D2" s="8" t="s">
        <v>33</v>
      </c>
      <c r="E2" s="9" t="s">
        <v>34</v>
      </c>
      <c r="F2" s="10" t="s">
        <v>35</v>
      </c>
      <c r="G2" s="11" t="s">
        <v>36</v>
      </c>
      <c r="H2" s="12" t="s">
        <v>37</v>
      </c>
      <c r="I2" s="13" t="s">
        <v>38</v>
      </c>
      <c r="J2" s="14" t="s">
        <v>39</v>
      </c>
      <c r="K2" s="15" t="s">
        <v>40</v>
      </c>
      <c r="M2" s="16">
        <v>1</v>
      </c>
      <c r="N2" s="17">
        <v>0.01</v>
      </c>
      <c r="O2" s="18">
        <v>1</v>
      </c>
      <c r="P2" s="16">
        <f ca="1">(VALUE(TEXT(TODAY(),"m")))</f>
        <v>3</v>
      </c>
      <c r="Q2" s="16">
        <f ca="1">DATEDIF(R2,S2,"d")</f>
        <v>1</v>
      </c>
      <c r="R2" s="16">
        <f ca="1">VALUE(TEXT(TODAY(),"dd"))</f>
        <v>31</v>
      </c>
      <c r="S2" s="16">
        <f ca="1">VALUE(TEXT(TODAY(),"dd"))+1</f>
        <v>32</v>
      </c>
    </row>
    <row r="3" spans="1:20" x14ac:dyDescent="0.2">
      <c r="A3" s="19" t="s">
        <v>41</v>
      </c>
      <c r="B3" s="20" t="s">
        <v>42</v>
      </c>
      <c r="C3" s="21" t="s">
        <v>43</v>
      </c>
      <c r="D3" s="22" t="s">
        <v>44</v>
      </c>
      <c r="E3" s="23" t="s">
        <v>45</v>
      </c>
      <c r="F3" s="24" t="s">
        <v>46</v>
      </c>
      <c r="G3" s="25" t="s">
        <v>47</v>
      </c>
      <c r="H3" s="26" t="s">
        <v>48</v>
      </c>
      <c r="I3" s="27" t="s">
        <v>49</v>
      </c>
      <c r="J3" s="28" t="s">
        <v>50</v>
      </c>
      <c r="K3" s="29"/>
      <c r="T3" s="16"/>
    </row>
    <row r="4" spans="1:20" x14ac:dyDescent="0.2">
      <c r="A4" s="30" t="s">
        <v>51</v>
      </c>
      <c r="B4" s="29"/>
      <c r="C4" s="31" t="s">
        <v>52</v>
      </c>
      <c r="D4" s="2"/>
      <c r="E4" s="2"/>
      <c r="F4" s="32" t="s">
        <v>53</v>
      </c>
      <c r="G4" s="33" t="s">
        <v>54</v>
      </c>
      <c r="H4" s="34"/>
      <c r="I4" s="2"/>
      <c r="J4" s="2"/>
      <c r="K4" s="2"/>
      <c r="M4" s="16">
        <v>1</v>
      </c>
      <c r="N4" s="17">
        <v>0.01</v>
      </c>
      <c r="O4" s="18">
        <v>1</v>
      </c>
      <c r="P4" s="16">
        <f ca="1">(VALUE(TEXT(TODAY(),"m")))</f>
        <v>3</v>
      </c>
      <c r="Q4" s="16">
        <f ca="1">DATEDIF(R4,S4,"d")</f>
        <v>1</v>
      </c>
      <c r="R4" s="16">
        <f ca="1">VALUE(TEXT(TODAY(),"dd"))</f>
        <v>31</v>
      </c>
      <c r="S4" s="16">
        <f ca="1">VALUE(TEXT(TODAY(),"dd"))+1</f>
        <v>32</v>
      </c>
      <c r="T4" s="35" t="s">
        <v>55</v>
      </c>
    </row>
    <row r="5" spans="1:20" x14ac:dyDescent="0.2">
      <c r="A5" s="36" t="s">
        <v>56</v>
      </c>
      <c r="B5" s="29"/>
      <c r="C5" s="37" t="s">
        <v>57</v>
      </c>
      <c r="D5" s="2"/>
      <c r="E5" s="2"/>
      <c r="F5" s="2"/>
      <c r="G5" s="2"/>
      <c r="H5" s="2"/>
      <c r="I5" s="2"/>
      <c r="J5" s="2"/>
      <c r="K5" s="2"/>
    </row>
    <row r="6" spans="1:20" x14ac:dyDescent="0.2">
      <c r="A6" s="38" t="s">
        <v>58</v>
      </c>
      <c r="B6" s="29"/>
      <c r="C6" s="2"/>
      <c r="D6" s="2"/>
      <c r="E6" s="2"/>
      <c r="F6" s="2"/>
      <c r="G6" s="2"/>
      <c r="H6" s="2"/>
      <c r="I6" s="2"/>
      <c r="J6" s="2"/>
      <c r="K6" s="2"/>
      <c r="Q6" s="3" t="s">
        <v>59</v>
      </c>
    </row>
    <row r="7" spans="1:20" x14ac:dyDescent="0.2">
      <c r="A7" s="39" t="s">
        <v>60</v>
      </c>
      <c r="B7" s="29"/>
      <c r="C7" s="2"/>
      <c r="D7" s="2"/>
      <c r="E7" s="2"/>
      <c r="F7" s="2"/>
      <c r="G7" s="2"/>
      <c r="H7" s="2"/>
      <c r="I7" s="2"/>
      <c r="J7" s="2"/>
      <c r="K7" s="2"/>
      <c r="Q7" s="2" t="str">
        <f ca="1">TEXT(CONCATENATE(R7,"/",S7,"/",T7),"dd/mm/yyyy")</f>
        <v>31/03/2026</v>
      </c>
      <c r="R7" s="1">
        <f ca="1">DAY(TODAY())</f>
        <v>31</v>
      </c>
      <c r="S7" s="1">
        <f ca="1">MONTH(TODAY())</f>
        <v>3</v>
      </c>
      <c r="T7" s="1">
        <f ca="1">YEAR(TODAY())</f>
        <v>2026</v>
      </c>
    </row>
    <row r="8" spans="1:20" x14ac:dyDescent="0.2">
      <c r="A8" s="40" t="s">
        <v>61</v>
      </c>
      <c r="B8" s="29"/>
      <c r="C8" s="41">
        <v>45823</v>
      </c>
      <c r="D8" s="42"/>
      <c r="E8" s="92"/>
      <c r="F8" s="2"/>
      <c r="G8" s="2"/>
      <c r="H8" s="2"/>
      <c r="I8" s="2"/>
      <c r="J8" s="2"/>
      <c r="K8" s="2"/>
    </row>
    <row r="9" spans="1:20" x14ac:dyDescent="0.2">
      <c r="A9" s="43" t="s">
        <v>62</v>
      </c>
      <c r="B9" s="29"/>
      <c r="C9" s="41"/>
      <c r="D9" s="2"/>
      <c r="E9" s="93"/>
      <c r="F9" s="2"/>
      <c r="G9" s="2"/>
      <c r="H9" s="2"/>
      <c r="I9" s="2"/>
      <c r="J9" s="2"/>
      <c r="K9" s="2"/>
    </row>
    <row r="10" spans="1:20" x14ac:dyDescent="0.2">
      <c r="A10" s="44" t="s">
        <v>63</v>
      </c>
      <c r="E10" s="94"/>
    </row>
    <row r="11" spans="1:20" x14ac:dyDescent="0.2">
      <c r="A11" s="45" t="s">
        <v>64</v>
      </c>
      <c r="E11" s="94"/>
    </row>
    <row r="12" spans="1:20" x14ac:dyDescent="0.2">
      <c r="E12" s="94"/>
    </row>
    <row r="13" spans="1:20" x14ac:dyDescent="0.2">
      <c r="E13" s="94"/>
    </row>
    <row r="14" spans="1:20" ht="12.75" thickBot="1" x14ac:dyDescent="0.25">
      <c r="A14" s="46" t="s">
        <v>65</v>
      </c>
    </row>
    <row r="15" spans="1:20" ht="12.75" thickBot="1" x14ac:dyDescent="0.25">
      <c r="A15" s="47" t="s">
        <v>66</v>
      </c>
    </row>
    <row r="16" spans="1:20" ht="12.75" thickBot="1" x14ac:dyDescent="0.25">
      <c r="A16" s="47" t="s">
        <v>67</v>
      </c>
    </row>
    <row r="19" spans="15:19" x14ac:dyDescent="0.2">
      <c r="O19" t="s">
        <v>68</v>
      </c>
    </row>
    <row r="31" spans="15:19" x14ac:dyDescent="0.2">
      <c r="P31" t="s">
        <v>69</v>
      </c>
      <c r="R31" t="str">
        <f>UPPER(P31)</f>
        <v xml:space="preserve">FIBRA ÓPTICA </v>
      </c>
      <c r="S31" t="s">
        <v>70</v>
      </c>
    </row>
  </sheetData>
  <conditionalFormatting sqref="A15:A16">
    <cfRule type="cellIs" dxfId="0" priority="1" operator="equal">
      <formula>0</formula>
    </cfRule>
  </conditionalFormatting>
  <dataValidations disablePrompts="1" count="2">
    <dataValidation type="list" allowBlank="1" showInputMessage="1" showErrorMessage="1" sqref="A15" xr:uid="{7DFB566E-226D-420D-BF0F-EDAFB6254AE6}">
      <formula1>"AREBR,CAJBR,CUSBR,HUNBR,JUNBR,LALBR,LI1BR,LI2BR,LI3BR,LI4BR,PIUBR,SANBR"</formula1>
    </dataValidation>
    <dataValidation type="list" allowBlank="1" showInputMessage="1" showErrorMessage="1" sqref="A16" xr:uid="{8CE54CFF-2323-4F88-8B1F-3DD3ACB7E278}">
      <formula1>"ARE,CAJ,CUS,HUN,JUN,LAL,LI1,LI2,LI3,LI4,PIU,SAN"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conectatel</vt:lpstr>
      <vt:lpstr>desi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Amilcar Patiño Gamarra</dc:creator>
  <cp:lastModifiedBy>Amilcar Patiño Gamarra</cp:lastModifiedBy>
  <dcterms:created xsi:type="dcterms:W3CDTF">2026-03-31T02:03:31Z</dcterms:created>
  <dcterms:modified xsi:type="dcterms:W3CDTF">2026-04-01T04:00:32Z</dcterms:modified>
</cp:coreProperties>
</file>